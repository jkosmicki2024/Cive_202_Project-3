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CIVE 202\Project 3\"/>
    </mc:Choice>
  </mc:AlternateContent>
  <xr:revisionPtr revIDLastSave="0" documentId="13_ncr:1_{1D46AE0D-28D3-452E-AA6A-768F7D4979EC}" xr6:coauthVersionLast="47" xr6:coauthVersionMax="47" xr10:uidLastSave="{00000000-0000-0000-0000-000000000000}"/>
  <bookViews>
    <workbookView xWindow="-110" yWindow="-110" windowWidth="25820" windowHeight="15500"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schedule'!#REF!</definedName>
    <definedName name="task_start" localSheetId="0">'Project schedule'!$D1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1" l="1"/>
  <c r="H5" i="11"/>
  <c r="G41" i="11"/>
  <c r="G37" i="11"/>
  <c r="G31" i="11"/>
  <c r="G7" i="11"/>
  <c r="G20" i="11" l="1"/>
  <c r="G14" i="11"/>
  <c r="G8" i="11"/>
  <c r="G32" i="11" l="1"/>
  <c r="G9" i="11"/>
  <c r="H6" i="11"/>
  <c r="G33" i="11" l="1"/>
  <c r="G42" i="11"/>
  <c r="G24" i="11"/>
  <c r="G21" i="11"/>
  <c r="G10" i="11"/>
  <c r="G15" i="11"/>
  <c r="I5" i="11"/>
  <c r="J5" i="11" s="1"/>
  <c r="K5" i="11" s="1"/>
  <c r="L5" i="11" s="1"/>
  <c r="M5" i="11" s="1"/>
  <c r="N5" i="11" s="1"/>
  <c r="O5" i="11" s="1"/>
  <c r="H4" i="11"/>
  <c r="G43" i="11" l="1"/>
  <c r="G36" i="11"/>
  <c r="G22" i="11"/>
  <c r="G23" i="11"/>
  <c r="G16" i="11"/>
  <c r="G13" i="11"/>
  <c r="O4" i="11"/>
  <c r="P5" i="11"/>
  <c r="Q5" i="11" s="1"/>
  <c r="R5" i="11" s="1"/>
  <c r="S5" i="11" s="1"/>
  <c r="T5" i="11" s="1"/>
  <c r="U5" i="11" s="1"/>
  <c r="V5" i="11" s="1"/>
  <c r="I6" i="11"/>
  <c r="G35" i="11" l="1"/>
  <c r="G34" i="11"/>
  <c r="G18" i="11"/>
  <c r="G17" i="11"/>
  <c r="V4" i="11"/>
  <c r="W5" i="11"/>
  <c r="X5" i="11" s="1"/>
  <c r="Y5" i="11" s="1"/>
  <c r="Z5" i="11" s="1"/>
  <c r="AA5" i="11" s="1"/>
  <c r="AB5" i="11" s="1"/>
  <c r="AC5" i="11" s="1"/>
  <c r="J6" i="11"/>
  <c r="G45" i="11" l="1"/>
  <c r="G44" i="11"/>
  <c r="AD5" i="11"/>
  <c r="AE5" i="11" s="1"/>
  <c r="AF5" i="11" s="1"/>
  <c r="AG5" i="11" s="1"/>
  <c r="AH5" i="11" s="1"/>
  <c r="AI5" i="11" s="1"/>
  <c r="AJ5" i="11" s="1"/>
  <c r="AC4" i="11"/>
  <c r="K6" i="11"/>
  <c r="AK5" i="11" l="1"/>
  <c r="AJ6" i="11"/>
  <c r="AJ4" i="11"/>
  <c r="G38" i="11"/>
  <c r="L6" i="11"/>
  <c r="AK6" i="11" l="1"/>
  <c r="AL5" i="11"/>
  <c r="G39" i="11"/>
  <c r="M6" i="11"/>
  <c r="AL6" i="11" l="1"/>
  <c r="AM5" i="11"/>
  <c r="G40" i="11"/>
  <c r="N6" i="11"/>
  <c r="AM6" i="11" l="1"/>
  <c r="AN5" i="11"/>
  <c r="O6" i="11"/>
  <c r="P6" i="11"/>
  <c r="AN6" i="11" l="1"/>
  <c r="AO5" i="11"/>
  <c r="Q6" i="11"/>
  <c r="AO6" i="11" l="1"/>
  <c r="AP5" i="11"/>
  <c r="R6" i="11"/>
  <c r="AP6" i="11" l="1"/>
  <c r="AQ5" i="11"/>
  <c r="S6" i="11"/>
  <c r="AQ6" i="11" l="1"/>
  <c r="AQ4" i="11"/>
  <c r="AR5" i="11"/>
  <c r="T6" i="11"/>
  <c r="AR6" i="11" l="1"/>
  <c r="AS5" i="11"/>
  <c r="U6" i="11"/>
  <c r="AS6" i="11" l="1"/>
  <c r="AT5" i="11"/>
  <c r="V6" i="11"/>
  <c r="AU5" i="11" l="1"/>
  <c r="AT6" i="11"/>
  <c r="W6" i="11"/>
  <c r="AV5" i="11" l="1"/>
  <c r="AU6" i="11"/>
  <c r="X6" i="11"/>
  <c r="AV6" i="11" l="1"/>
  <c r="AW5" i="11"/>
  <c r="AW6" i="11" s="1"/>
  <c r="Y6" i="11"/>
  <c r="Z6" i="11" l="1"/>
  <c r="AA6" i="11" l="1"/>
  <c r="AB6" i="11" l="1"/>
  <c r="AC6" i="11" l="1"/>
  <c r="AD6" i="11" l="1"/>
  <c r="AE6" i="11" l="1"/>
  <c r="AF6" i="11" l="1"/>
  <c r="AG6" i="11" l="1"/>
  <c r="AH6" i="11" l="1"/>
  <c r="AI6" i="11" l="1"/>
</calcChain>
</file>

<file path=xl/sharedStrings.xml><?xml version="1.0" encoding="utf-8"?>
<sst xmlns="http://schemas.openxmlformats.org/spreadsheetml/2006/main" count="94" uniqueCount="64">
  <si>
    <t>Project start:</t>
  </si>
  <si>
    <t>TASK</t>
  </si>
  <si>
    <t>ASSIGNED TO</t>
  </si>
  <si>
    <t>START</t>
  </si>
  <si>
    <t>END</t>
  </si>
  <si>
    <t xml:space="preserve">Do not delete this row. This row is hidden to preserve a formula that is used to highlight the current day within the project schedule. </t>
  </si>
  <si>
    <t xml:space="preserve">Github Repository </t>
  </si>
  <si>
    <t>Create Github</t>
  </si>
  <si>
    <t>Create README</t>
  </si>
  <si>
    <t>Upload all Files to Github</t>
  </si>
  <si>
    <t>Review Documents</t>
  </si>
  <si>
    <t>Final Product/Submit</t>
  </si>
  <si>
    <t>Scope of Work</t>
  </si>
  <si>
    <t>Identify Clients Tasks</t>
  </si>
  <si>
    <t>Create SOW</t>
  </si>
  <si>
    <t>Jacob</t>
  </si>
  <si>
    <t>Review Document</t>
  </si>
  <si>
    <t>Python Code</t>
  </si>
  <si>
    <t>Annotated Code Document</t>
  </si>
  <si>
    <t xml:space="preserve">Jacob </t>
  </si>
  <si>
    <t>Written Report</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</si>
  <si>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</si>
  <si>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</si>
  <si>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</si>
  <si>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</si>
  <si>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</si>
  <si>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</si>
  <si>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</si>
  <si>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</si>
  <si>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</si>
  <si>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</si>
  <si>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</si>
  <si>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</si>
  <si>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</si>
  <si>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</si>
  <si>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CIVE 202 Project #3</t>
  </si>
  <si>
    <t>Jacob Kosmicki</t>
  </si>
  <si>
    <t>`</t>
  </si>
  <si>
    <t>Identify NHTS &amp; NGSIM Variables</t>
  </si>
  <si>
    <t>Explore NGSIM Dataset</t>
  </si>
  <si>
    <t>Bar Chart - NHTS Variable</t>
  </si>
  <si>
    <t>Histogram - NHTS Variable</t>
  </si>
  <si>
    <t>Boxplot - NHTS Variable</t>
  </si>
  <si>
    <t>Time-Series Plot 1 - NGSIM</t>
  </si>
  <si>
    <t>Time-Series Plot 2 - NGSIM</t>
  </si>
  <si>
    <t>Review &amp; Revise Plots</t>
  </si>
  <si>
    <t>IDM Simulation Study</t>
  </si>
  <si>
    <t>Research Intelligent Driver Model</t>
  </si>
  <si>
    <t>Code IDM Simulation</t>
  </si>
  <si>
    <t>Visualize Vehicle Trajectories</t>
  </si>
  <si>
    <t>Draft Introduction &amp; Methods</t>
  </si>
  <si>
    <t>Draft Results &amp; Discussion</t>
  </si>
  <si>
    <t>Compile References (APA)</t>
  </si>
  <si>
    <t>Review &amp; Final Submit</t>
  </si>
  <si>
    <t>Labs</t>
  </si>
  <si>
    <t>Lab #1</t>
  </si>
  <si>
    <t>Lab #2</t>
  </si>
  <si>
    <t>Lab #3</t>
  </si>
  <si>
    <t>Lab #4</t>
  </si>
  <si>
    <t>Review and Submit</t>
  </si>
  <si>
    <t>Annotate code</t>
  </si>
  <si>
    <t>Create table of fucntions used'</t>
  </si>
  <si>
    <t xml:space="preserve">Comments and Dependencies </t>
  </si>
  <si>
    <t xml:space="preserve">All submissions are dependent on GitHub. The report is dependent on all the tasks that come before it. For each individual subsection, the tasks beforehand are dependent on the tasks after them. For the document in general, these dependencies are speculations, for the in-depth knowledge of the project is still mainly unknown. 
For the general document, all dates are speculations, for the only due date actually known is the final submission and labs.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</si>
</sst>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4"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8"/>
      <name val="Arial"/>
      <family val="2"/>
      <scheme val="minor"/>
    </font>
    <font>
      <sz val="40"/>
      <color theme="1"/>
      <name val="Arial"/>
      <family val="2"/>
      <scheme val="minor"/>
    </font>
    <font>
      <sz val="10"/>
      <color theme="1"/>
      <name val="Arial"/>
      <family val="2"/>
      <charset val="1"/>
    </font>
    <font>
      <sz val="11"/>
      <name val="Calibri"/>
      <family val="2"/>
    </font>
    <font>
      <b/>
      <sz val="11"/>
      <name val="Calibri"/>
      <family val="2"/>
    </font>
    <font>
      <sz val="12"/>
      <color theme="1"/>
      <name val="Arial"/>
      <family val="2"/>
      <scheme val="minor"/>
    </font>
  </fonts>
  <fills count="2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4" tint="0.79989013336588644"/>
        <bgColor rgb="FFD9D9D9"/>
      </patternFill>
    </fill>
    <fill>
      <patternFill patternType="solid">
        <fgColor theme="5" tint="0.79989013336588644"/>
        <bgColor rgb="FFE0D4FD"/>
      </patternFill>
    </fill>
    <fill>
      <patternFill patternType="solid">
        <fgColor theme="8" tint="0.59987182226020086"/>
        <bgColor rgb="FFFFF9D4"/>
      </patternFill>
    </fill>
    <fill>
      <patternFill patternType="solid">
        <fgColor theme="8" tint="0.79989013336588644"/>
        <bgColor rgb="FFF2F2F2"/>
      </patternFill>
    </fill>
    <fill>
      <patternFill patternType="solid">
        <fgColor theme="6" tint="0.79989013336588644"/>
        <bgColor rgb="FFF2F2F2"/>
      </patternFill>
    </fill>
    <fill>
      <patternFill patternType="solid">
        <fgColor theme="6" tint="0.59999389629810485"/>
        <bgColor indexed="64"/>
      </patternFill>
    </fill>
    <fill>
      <patternFill patternType="solid">
        <fgColor theme="6" tint="0.79998168889431442"/>
        <bgColor rgb="FFD9D9D9"/>
      </patternFill>
    </fill>
  </fills>
  <borders count="3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bottom style="thin">
        <color theme="4" tint="0.59987182226020086"/>
      </bottom>
      <diagonal/>
    </border>
    <border>
      <left/>
      <right/>
      <top style="thin">
        <color theme="4" tint="0.59987182226020086"/>
      </top>
      <bottom style="thin">
        <color theme="4" tint="0.59987182226020086"/>
      </bottom>
      <diagonal/>
    </border>
    <border>
      <left/>
      <right/>
      <top style="thin">
        <color theme="5" tint="0.59987182226020086"/>
      </top>
      <bottom style="thin">
        <color theme="5" tint="0.59987182226020086"/>
      </bottom>
      <diagonal/>
    </border>
    <border>
      <left/>
      <right/>
      <top style="thin">
        <color theme="8" tint="0.59987182226020086"/>
      </top>
      <bottom style="thin">
        <color theme="8" tint="0.59987182226020086"/>
      </bottom>
      <diagonal/>
    </border>
    <border>
      <left/>
      <right/>
      <top style="thin">
        <color theme="6" tint="0.59987182226020086"/>
      </top>
      <bottom style="thin">
        <color theme="6" tint="0.59987182226020086"/>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s>
  <cellStyleXfs count="12">
    <xf numFmtId="0" fontId="0" fillId="0" borderId="0"/>
    <xf numFmtId="0" fontId="2" fillId="0" borderId="0" applyNumberFormat="0" applyFill="0" applyBorder="0" applyAlignment="0" applyProtection="0">
      <alignment vertical="top"/>
      <protection locked="0"/>
    </xf>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1">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2"/>
    <xf numFmtId="0" fontId="3" fillId="0" borderId="0" xfId="0" applyFont="1" applyAlignment="1">
      <alignment horizontal="center" vertical="center"/>
    </xf>
    <xf numFmtId="0" fontId="13"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19" xfId="0" applyNumberFormat="1" applyFont="1" applyFill="1" applyBorder="1" applyAlignment="1">
      <alignment horizontal="center" vertical="center"/>
    </xf>
    <xf numFmtId="167" fontId="19" fillId="12" borderId="17" xfId="0" applyNumberFormat="1" applyFont="1" applyFill="1" applyBorder="1" applyAlignment="1">
      <alignment horizontal="center" vertical="center"/>
    </xf>
    <xf numFmtId="167" fontId="19" fillId="12" borderId="18" xfId="0" applyNumberFormat="1" applyFont="1" applyFill="1" applyBorder="1" applyAlignment="1">
      <alignment horizontal="center" vertical="center"/>
    </xf>
    <xf numFmtId="0" fontId="20" fillId="2" borderId="16"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0" applyFont="1" applyFill="1" applyBorder="1" applyAlignment="1">
      <alignment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1" applyFont="1" applyFill="1" applyBorder="1">
      <alignment horizontal="left" vertical="center" indent="2"/>
    </xf>
    <xf numFmtId="0" fontId="17" fillId="3" borderId="6" xfId="10" applyFont="1" applyFill="1" applyBorder="1" applyAlignment="1">
      <alignment vertical="center"/>
    </xf>
    <xf numFmtId="164" fontId="17" fillId="3" borderId="6" xfId="9" applyFont="1" applyFill="1" applyBorder="1">
      <alignment horizontal="center" vertical="center"/>
    </xf>
    <xf numFmtId="0" fontId="4" fillId="0" borderId="4" xfId="0" applyFont="1" applyBorder="1" applyAlignment="1">
      <alignment vertical="center"/>
    </xf>
    <xf numFmtId="0" fontId="17" fillId="3" borderId="7" xfId="11" applyFont="1" applyFill="1" applyBorder="1">
      <alignment horizontal="left" vertical="center" indent="2"/>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0" applyFont="1" applyFill="1" applyBorder="1" applyAlignment="1">
      <alignment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1" applyFont="1" applyFill="1" applyBorder="1">
      <alignment horizontal="left" vertical="center" indent="2"/>
    </xf>
    <xf numFmtId="0" fontId="17" fillId="4" borderId="5" xfId="10" applyFont="1" applyFill="1" applyBorder="1" applyAlignment="1">
      <alignment vertical="center"/>
    </xf>
    <xf numFmtId="164" fontId="17" fillId="4" borderId="5" xfId="9" applyFont="1" applyFill="1" applyBorder="1">
      <alignment horizontal="center" vertical="center"/>
    </xf>
    <xf numFmtId="0" fontId="21" fillId="8" borderId="0" xfId="0" applyFont="1" applyFill="1" applyAlignment="1">
      <alignment horizontal="left" vertical="center" indent="1"/>
    </xf>
    <xf numFmtId="0" fontId="17" fillId="8" borderId="0" xfId="10" applyFont="1" applyFill="1" applyBorder="1" applyAlignment="1">
      <alignment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0" applyFont="1" applyFill="1" applyBorder="1" applyAlignment="1">
      <alignment vertical="center"/>
    </xf>
    <xf numFmtId="164" fontId="17" fillId="5" borderId="8" xfId="9" applyFont="1" applyFill="1" applyBorder="1">
      <alignment horizontal="center" vertical="center"/>
    </xf>
    <xf numFmtId="0" fontId="17" fillId="9" borderId="0" xfId="10" applyFont="1" applyFill="1" applyBorder="1" applyAlignment="1">
      <alignment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0" applyFont="1" applyFill="1" applyBorder="1" applyAlignment="1">
      <alignment vertical="center"/>
    </xf>
    <xf numFmtId="164" fontId="17" fillId="10" borderId="9" xfId="9" applyFont="1" applyFill="1" applyBorder="1">
      <alignment horizontal="center" vertical="center"/>
    </xf>
    <xf numFmtId="0" fontId="22" fillId="0" borderId="0" xfId="5" applyFont="1" applyAlignment="1">
      <alignment horizontal="left" vertical="center" indent="1"/>
    </xf>
    <xf numFmtId="0" fontId="22" fillId="0" borderId="0" xfId="6" applyFont="1" applyAlignment="1">
      <alignment horizontal="left" vertical="center" indent="1"/>
    </xf>
    <xf numFmtId="0" fontId="25" fillId="0" borderId="0" xfId="4"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29" fillId="0" borderId="0" xfId="0" applyFont="1"/>
    <xf numFmtId="0" fontId="11" fillId="0" borderId="0" xfId="2" applyAlignment="1">
      <alignment wrapText="1"/>
    </xf>
    <xf numFmtId="164" fontId="30" fillId="13" borderId="21" xfId="9" applyFont="1" applyFill="1" applyBorder="1">
      <alignment horizontal="center" vertical="center"/>
    </xf>
    <xf numFmtId="164" fontId="30" fillId="13" borderId="22" xfId="9" applyFont="1" applyFill="1" applyBorder="1">
      <alignment horizontal="center" vertical="center"/>
    </xf>
    <xf numFmtId="0" fontId="31" fillId="14" borderId="23" xfId="11" applyFont="1" applyFill="1" applyBorder="1">
      <alignment horizontal="left" vertical="center" indent="2"/>
    </xf>
    <xf numFmtId="0" fontId="31" fillId="16" borderId="24" xfId="11" applyFont="1" applyFill="1" applyBorder="1">
      <alignment horizontal="left" vertical="center" indent="2"/>
    </xf>
    <xf numFmtId="0" fontId="32" fillId="15" borderId="0" xfId="0" applyFont="1" applyFill="1" applyAlignment="1">
      <alignment horizontal="left" vertical="center" indent="1"/>
    </xf>
    <xf numFmtId="0" fontId="31" fillId="13" borderId="21" xfId="11" applyFont="1" applyFill="1" applyBorder="1">
      <alignment horizontal="left" vertical="center" indent="2"/>
    </xf>
    <xf numFmtId="0" fontId="32" fillId="13" borderId="21" xfId="11" applyFont="1" applyFill="1" applyBorder="1">
      <alignment horizontal="left" vertical="center" indent="2"/>
    </xf>
    <xf numFmtId="0" fontId="31" fillId="13" borderId="22" xfId="11" applyFont="1" applyFill="1" applyBorder="1">
      <alignment horizontal="left" vertical="center" indent="2"/>
    </xf>
    <xf numFmtId="0" fontId="31" fillId="17" borderId="25" xfId="11" applyFont="1" applyFill="1" applyBorder="1">
      <alignment horizontal="left" vertical="center" indent="2"/>
    </xf>
    <xf numFmtId="0" fontId="21" fillId="18" borderId="0" xfId="0" applyFont="1" applyFill="1" applyAlignment="1">
      <alignment horizontal="left" vertical="center" indent="1"/>
    </xf>
    <xf numFmtId="0" fontId="17" fillId="18" borderId="0" xfId="10" applyFont="1" applyFill="1" applyBorder="1" applyAlignment="1">
      <alignment vertical="center"/>
    </xf>
    <xf numFmtId="164" fontId="17" fillId="18" borderId="0" xfId="0" applyNumberFormat="1" applyFont="1" applyFill="1" applyAlignment="1">
      <alignment horizontal="center" vertical="center"/>
    </xf>
    <xf numFmtId="164" fontId="1" fillId="18" borderId="0" xfId="0" applyNumberFormat="1" applyFont="1" applyFill="1" applyAlignment="1">
      <alignment horizontal="center" vertical="center"/>
    </xf>
    <xf numFmtId="0" fontId="31" fillId="19" borderId="21" xfId="11" applyFont="1" applyFill="1" applyBorder="1">
      <alignment horizontal="left" vertical="center" indent="2"/>
    </xf>
    <xf numFmtId="0" fontId="17" fillId="5" borderId="6" xfId="10" applyFont="1" applyFill="1" applyBorder="1" applyAlignment="1">
      <alignment vertical="center"/>
    </xf>
    <xf numFmtId="164" fontId="17" fillId="5" borderId="6" xfId="9" applyFont="1" applyFill="1" applyBorder="1">
      <alignment horizontal="center" vertical="center"/>
    </xf>
    <xf numFmtId="164" fontId="17" fillId="5" borderId="7" xfId="9" applyFont="1" applyFill="1" applyBorder="1">
      <alignment horizontal="center" vertical="center"/>
    </xf>
    <xf numFmtId="166" fontId="17" fillId="2" borderId="13" xfId="0" applyNumberFormat="1" applyFont="1" applyFill="1" applyBorder="1" applyAlignment="1">
      <alignment horizontal="center" vertical="center" wrapText="1"/>
    </xf>
    <xf numFmtId="0" fontId="18" fillId="11" borderId="15" xfId="0" applyFont="1" applyFill="1" applyBorder="1" applyAlignment="1">
      <alignment horizontal="center" vertical="center"/>
    </xf>
    <xf numFmtId="0" fontId="4" fillId="2" borderId="20" xfId="0" applyFont="1" applyFill="1" applyBorder="1"/>
    <xf numFmtId="0" fontId="23" fillId="0" borderId="0" xfId="0" applyFont="1" applyAlignment="1">
      <alignment horizontal="left"/>
    </xf>
    <xf numFmtId="0" fontId="24" fillId="0" borderId="0" xfId="0" applyFont="1"/>
    <xf numFmtId="165" fontId="23" fillId="0" borderId="0" xfId="8" applyFont="1" applyBorder="1" applyAlignment="1">
      <alignment horizontal="left"/>
    </xf>
    <xf numFmtId="0" fontId="22" fillId="0" borderId="0" xfId="7" applyFont="1" applyAlignment="1">
      <alignment horizontal="left"/>
    </xf>
    <xf numFmtId="0" fontId="4" fillId="0" borderId="0" xfId="0" applyFont="1"/>
    <xf numFmtId="166" fontId="17" fillId="2" borderId="17" xfId="0" applyNumberFormat="1" applyFont="1" applyFill="1" applyBorder="1" applyAlignment="1">
      <alignment horizontal="center" vertical="center" wrapText="1"/>
    </xf>
    <xf numFmtId="0" fontId="11" fillId="0" borderId="0" xfId="2" applyAlignment="1">
      <alignment wrapText="1"/>
    </xf>
    <xf numFmtId="0" fontId="18"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18" fillId="11" borderId="15" xfId="0" applyFont="1" applyFill="1" applyBorder="1" applyAlignment="1">
      <alignment vertical="center"/>
    </xf>
    <xf numFmtId="0" fontId="33" fillId="0" borderId="26" xfId="0" applyFont="1" applyBorder="1" applyAlignment="1">
      <alignment horizontal="center" vertical="center" wrapText="1"/>
    </xf>
    <xf numFmtId="0" fontId="4" fillId="0" borderId="12"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11" xfId="0" applyFont="1" applyBorder="1" applyAlignment="1">
      <alignment horizontal="center" vertical="center"/>
    </xf>
    <xf numFmtId="0" fontId="4" fillId="0" borderId="29" xfId="0" applyFont="1" applyBorder="1" applyAlignment="1">
      <alignment horizontal="center" vertical="center"/>
    </xf>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27">
    <dxf>
      <fill>
        <patternFill>
          <bgColor theme="6" tint="0.39994506668294322"/>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6" tint="0.39994506668294322"/>
        </patternFill>
      </fill>
      <border>
        <left/>
        <right/>
      </border>
    </dxf>
    <dxf>
      <fill>
        <patternFill>
          <bgColor theme="6" tint="0.79998168889431442"/>
        </patternFill>
      </fill>
      <border>
        <left/>
        <right/>
      </border>
    </dxf>
    <dxf>
      <fill>
        <patternFill>
          <bgColor theme="8" tint="0.59996337778862885"/>
        </patternFill>
      </fill>
      <border>
        <left/>
        <right/>
        <top style="thin">
          <color theme="0" tint="-4.9989318521683403E-2"/>
        </top>
        <bottom style="thin">
          <color theme="0" tint="-4.9989318521683403E-2"/>
        </bottom>
      </border>
    </dxf>
    <dxf>
      <fill>
        <patternFill>
          <bgColor theme="8" tint="0.79998168889431442"/>
        </patternFill>
      </fill>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W50"/>
  <sheetViews>
    <sheetView showGridLines="0" tabSelected="1" showRuler="0" zoomScale="85" zoomScaleNormal="85" zoomScalePageLayoutView="70" workbookViewId="0">
      <selection activeCell="C49" sqref="C49"/>
    </sheetView>
  </sheetViews>
  <sheetFormatPr defaultColWidth="8.75" defaultRowHeight="30" customHeight="1" x14ac:dyDescent="0.3"/>
  <cols>
    <col min="1" max="1" width="2.75" style="10" customWidth="1"/>
    <col min="2" max="2" width="48.33203125" customWidth="1"/>
    <col min="3" max="3" width="21.08203125" bestFit="1" customWidth="1"/>
    <col min="4" max="4" width="10.75" style="2" customWidth="1"/>
    <col min="5" max="5" width="10.75" customWidth="1"/>
    <col min="6" max="6" width="2.75" customWidth="1"/>
    <col min="7" max="7" width="6" hidden="1" customWidth="1"/>
    <col min="8" max="49" width="3.9140625" customWidth="1"/>
  </cols>
  <sheetData>
    <row r="1" spans="1:49" ht="90" customHeight="1" x14ac:dyDescent="1.7">
      <c r="A1" s="74"/>
      <c r="B1" s="65" t="s">
        <v>35</v>
      </c>
      <c r="C1" s="12"/>
      <c r="D1" s="13"/>
      <c r="E1" s="14"/>
      <c r="G1" s="1"/>
      <c r="H1" s="98" t="s">
        <v>0</v>
      </c>
      <c r="I1" s="99"/>
      <c r="J1" s="99"/>
      <c r="K1" s="99"/>
      <c r="L1" s="99"/>
      <c r="M1" s="99"/>
      <c r="N1" s="99"/>
      <c r="O1" s="17"/>
      <c r="P1" s="97">
        <v>46079</v>
      </c>
      <c r="Q1" s="96"/>
      <c r="R1" s="96"/>
      <c r="S1" s="96"/>
      <c r="T1" s="96"/>
      <c r="U1" s="96"/>
      <c r="V1" s="96"/>
      <c r="W1" s="96"/>
      <c r="X1" s="96"/>
      <c r="Y1" s="96"/>
      <c r="AO1" s="73"/>
    </row>
    <row r="2" spans="1:49" ht="30" customHeight="1" x14ac:dyDescent="0.7">
      <c r="B2" s="63" t="s">
        <v>36</v>
      </c>
      <c r="C2" s="64"/>
      <c r="D2" s="16"/>
      <c r="E2" s="15"/>
      <c r="H2" s="98"/>
      <c r="I2" s="99"/>
      <c r="J2" s="99"/>
      <c r="K2" s="99"/>
      <c r="L2" s="99"/>
      <c r="M2" s="99"/>
      <c r="N2" s="99"/>
      <c r="O2" s="17"/>
      <c r="P2" s="95"/>
      <c r="Q2" s="96"/>
      <c r="R2" s="96"/>
      <c r="S2" s="96"/>
      <c r="T2" s="96"/>
      <c r="U2" s="96"/>
      <c r="V2" s="96"/>
      <c r="W2" s="96"/>
      <c r="X2" s="96"/>
      <c r="Y2" s="96"/>
    </row>
    <row r="3" spans="1:49" s="19" customFormat="1" ht="30" customHeight="1" x14ac:dyDescent="0.3">
      <c r="A3" s="10"/>
      <c r="B3" s="18"/>
      <c r="D3" s="20"/>
    </row>
    <row r="4" spans="1:49" s="19" customFormat="1" ht="30" customHeight="1" x14ac:dyDescent="0.3">
      <c r="A4" s="74"/>
      <c r="B4" s="21"/>
      <c r="D4" s="22"/>
      <c r="H4" s="100">
        <f>H5</f>
        <v>46069</v>
      </c>
      <c r="I4" s="92"/>
      <c r="J4" s="92"/>
      <c r="K4" s="92"/>
      <c r="L4" s="92"/>
      <c r="M4" s="92"/>
      <c r="N4" s="92"/>
      <c r="O4" s="92">
        <f>O5</f>
        <v>46076</v>
      </c>
      <c r="P4" s="92"/>
      <c r="Q4" s="92"/>
      <c r="R4" s="92"/>
      <c r="S4" s="92"/>
      <c r="T4" s="92"/>
      <c r="U4" s="92"/>
      <c r="V4" s="92">
        <f>V5</f>
        <v>46083</v>
      </c>
      <c r="W4" s="92"/>
      <c r="X4" s="92"/>
      <c r="Y4" s="92"/>
      <c r="Z4" s="92"/>
      <c r="AA4" s="92"/>
      <c r="AB4" s="92"/>
      <c r="AC4" s="92">
        <f>AC5</f>
        <v>46090</v>
      </c>
      <c r="AD4" s="92"/>
      <c r="AE4" s="92"/>
      <c r="AF4" s="92"/>
      <c r="AG4" s="92"/>
      <c r="AH4" s="92"/>
      <c r="AI4" s="92"/>
      <c r="AJ4" s="92">
        <f>AJ5</f>
        <v>46097</v>
      </c>
      <c r="AK4" s="92"/>
      <c r="AL4" s="92"/>
      <c r="AM4" s="92"/>
      <c r="AN4" s="92"/>
      <c r="AO4" s="92"/>
      <c r="AP4" s="92"/>
      <c r="AQ4" s="92">
        <f>AQ5</f>
        <v>46104</v>
      </c>
      <c r="AR4" s="92"/>
      <c r="AS4" s="92"/>
      <c r="AT4" s="92"/>
      <c r="AU4" s="92"/>
      <c r="AV4" s="92"/>
      <c r="AW4" s="92"/>
    </row>
    <row r="5" spans="1:49" s="19" customFormat="1" ht="15" customHeight="1" x14ac:dyDescent="0.3">
      <c r="A5" s="101"/>
      <c r="B5" s="102" t="s">
        <v>1</v>
      </c>
      <c r="C5" s="104" t="s">
        <v>2</v>
      </c>
      <c r="D5" s="93" t="s">
        <v>3</v>
      </c>
      <c r="E5" s="93" t="s">
        <v>4</v>
      </c>
      <c r="H5" s="23">
        <f>Project_Start-WEEKDAY(Project_Start,1)+2+7*(Display_Week-1)</f>
        <v>46069</v>
      </c>
      <c r="I5" s="23">
        <f>H5+1</f>
        <v>46070</v>
      </c>
      <c r="J5" s="23">
        <f t="shared" ref="J5:AI5" si="0">I5+1</f>
        <v>46071</v>
      </c>
      <c r="K5" s="23">
        <f t="shared" si="0"/>
        <v>46072</v>
      </c>
      <c r="L5" s="23">
        <f t="shared" si="0"/>
        <v>46073</v>
      </c>
      <c r="M5" s="23">
        <f t="shared" si="0"/>
        <v>46074</v>
      </c>
      <c r="N5" s="24">
        <f t="shared" si="0"/>
        <v>46075</v>
      </c>
      <c r="O5" s="25">
        <f>N5+1</f>
        <v>46076</v>
      </c>
      <c r="P5" s="23">
        <f>O5+1</f>
        <v>46077</v>
      </c>
      <c r="Q5" s="23">
        <f t="shared" si="0"/>
        <v>46078</v>
      </c>
      <c r="R5" s="23">
        <f t="shared" si="0"/>
        <v>46079</v>
      </c>
      <c r="S5" s="23">
        <f t="shared" si="0"/>
        <v>46080</v>
      </c>
      <c r="T5" s="23">
        <f t="shared" si="0"/>
        <v>46081</v>
      </c>
      <c r="U5" s="24">
        <f t="shared" si="0"/>
        <v>46082</v>
      </c>
      <c r="V5" s="25">
        <f>U5+1</f>
        <v>46083</v>
      </c>
      <c r="W5" s="23">
        <f>V5+1</f>
        <v>46084</v>
      </c>
      <c r="X5" s="23">
        <f t="shared" si="0"/>
        <v>46085</v>
      </c>
      <c r="Y5" s="23">
        <f t="shared" si="0"/>
        <v>46086</v>
      </c>
      <c r="Z5" s="23">
        <f t="shared" si="0"/>
        <v>46087</v>
      </c>
      <c r="AA5" s="23">
        <f t="shared" si="0"/>
        <v>46088</v>
      </c>
      <c r="AB5" s="24">
        <f t="shared" si="0"/>
        <v>46089</v>
      </c>
      <c r="AC5" s="25">
        <f>AB5+1</f>
        <v>46090</v>
      </c>
      <c r="AD5" s="23">
        <f>AC5+1</f>
        <v>46091</v>
      </c>
      <c r="AE5" s="23">
        <f t="shared" si="0"/>
        <v>46092</v>
      </c>
      <c r="AF5" s="23">
        <f t="shared" si="0"/>
        <v>46093</v>
      </c>
      <c r="AG5" s="23">
        <f t="shared" si="0"/>
        <v>46094</v>
      </c>
      <c r="AH5" s="23">
        <f t="shared" si="0"/>
        <v>46095</v>
      </c>
      <c r="AI5" s="24">
        <f t="shared" si="0"/>
        <v>46096</v>
      </c>
      <c r="AJ5" s="25">
        <f>AI5+1</f>
        <v>46097</v>
      </c>
      <c r="AK5" s="23">
        <f>AJ5+1</f>
        <v>46098</v>
      </c>
      <c r="AL5" s="23">
        <f t="shared" ref="AL5" si="1">AK5+1</f>
        <v>46099</v>
      </c>
      <c r="AM5" s="23">
        <f t="shared" ref="AM5" si="2">AL5+1</f>
        <v>46100</v>
      </c>
      <c r="AN5" s="23">
        <f t="shared" ref="AN5" si="3">AM5+1</f>
        <v>46101</v>
      </c>
      <c r="AO5" s="23">
        <f t="shared" ref="AO5" si="4">AN5+1</f>
        <v>46102</v>
      </c>
      <c r="AP5" s="24">
        <f>AO5+1</f>
        <v>46103</v>
      </c>
      <c r="AQ5" s="25">
        <f>AP5+1</f>
        <v>46104</v>
      </c>
      <c r="AR5" s="23">
        <f>AQ5+1</f>
        <v>46105</v>
      </c>
      <c r="AS5" s="23">
        <f t="shared" ref="AS5" si="5">AR5+1</f>
        <v>46106</v>
      </c>
      <c r="AT5" s="23">
        <f t="shared" ref="AT5" si="6">AS5+1</f>
        <v>46107</v>
      </c>
      <c r="AU5" s="23">
        <f t="shared" ref="AU5" si="7">AT5+1</f>
        <v>46108</v>
      </c>
      <c r="AV5" s="23">
        <f t="shared" ref="AV5" si="8">AU5+1</f>
        <v>46109</v>
      </c>
      <c r="AW5" s="24">
        <f>AV5+1</f>
        <v>46110</v>
      </c>
    </row>
    <row r="6" spans="1:49" s="19" customFormat="1" ht="15" customHeight="1" thickBot="1" x14ac:dyDescent="0.35">
      <c r="A6" s="101"/>
      <c r="B6" s="103"/>
      <c r="C6" s="94"/>
      <c r="D6" s="94"/>
      <c r="E6" s="94"/>
      <c r="H6" s="26" t="str">
        <f t="shared" ref="H6:AI6" si="9">LEFT(TEXT(H5,"ddd"),1)</f>
        <v>M</v>
      </c>
      <c r="I6" s="27" t="str">
        <f t="shared" si="9"/>
        <v>T</v>
      </c>
      <c r="J6" s="27" t="str">
        <f t="shared" si="9"/>
        <v>W</v>
      </c>
      <c r="K6" s="27" t="str">
        <f t="shared" si="9"/>
        <v>T</v>
      </c>
      <c r="L6" s="27" t="str">
        <f t="shared" si="9"/>
        <v>F</v>
      </c>
      <c r="M6" s="27" t="str">
        <f t="shared" si="9"/>
        <v>S</v>
      </c>
      <c r="N6" s="27" t="str">
        <f t="shared" si="9"/>
        <v>S</v>
      </c>
      <c r="O6" s="27" t="str">
        <f t="shared" si="9"/>
        <v>M</v>
      </c>
      <c r="P6" s="27" t="str">
        <f t="shared" si="9"/>
        <v>T</v>
      </c>
      <c r="Q6" s="27" t="str">
        <f t="shared" si="9"/>
        <v>W</v>
      </c>
      <c r="R6" s="27" t="str">
        <f t="shared" si="9"/>
        <v>T</v>
      </c>
      <c r="S6" s="27" t="str">
        <f t="shared" si="9"/>
        <v>F</v>
      </c>
      <c r="T6" s="27" t="str">
        <f t="shared" si="9"/>
        <v>S</v>
      </c>
      <c r="U6" s="27" t="str">
        <f t="shared" si="9"/>
        <v>S</v>
      </c>
      <c r="V6" s="27" t="str">
        <f t="shared" si="9"/>
        <v>M</v>
      </c>
      <c r="W6" s="27" t="str">
        <f t="shared" si="9"/>
        <v>T</v>
      </c>
      <c r="X6" s="27" t="str">
        <f t="shared" si="9"/>
        <v>W</v>
      </c>
      <c r="Y6" s="27" t="str">
        <f t="shared" si="9"/>
        <v>T</v>
      </c>
      <c r="Z6" s="27" t="str">
        <f t="shared" si="9"/>
        <v>F</v>
      </c>
      <c r="AA6" s="27" t="str">
        <f t="shared" si="9"/>
        <v>S</v>
      </c>
      <c r="AB6" s="27" t="str">
        <f t="shared" si="9"/>
        <v>S</v>
      </c>
      <c r="AC6" s="27" t="str">
        <f t="shared" si="9"/>
        <v>M</v>
      </c>
      <c r="AD6" s="27" t="str">
        <f t="shared" si="9"/>
        <v>T</v>
      </c>
      <c r="AE6" s="27" t="str">
        <f t="shared" si="9"/>
        <v>W</v>
      </c>
      <c r="AF6" s="27" t="str">
        <f t="shared" si="9"/>
        <v>T</v>
      </c>
      <c r="AG6" s="27" t="str">
        <f t="shared" si="9"/>
        <v>F</v>
      </c>
      <c r="AH6" s="27" t="str">
        <f t="shared" si="9"/>
        <v>S</v>
      </c>
      <c r="AI6" s="27" t="str">
        <f t="shared" si="9"/>
        <v>S</v>
      </c>
      <c r="AJ6" s="27" t="str">
        <f t="shared" ref="AJ6:AP6" si="10">LEFT(TEXT(AJ5,"ddd"),1)</f>
        <v>M</v>
      </c>
      <c r="AK6" s="27" t="str">
        <f t="shared" si="10"/>
        <v>T</v>
      </c>
      <c r="AL6" s="27" t="str">
        <f t="shared" si="10"/>
        <v>W</v>
      </c>
      <c r="AM6" s="27" t="str">
        <f t="shared" si="10"/>
        <v>T</v>
      </c>
      <c r="AN6" s="27" t="str">
        <f t="shared" si="10"/>
        <v>F</v>
      </c>
      <c r="AO6" s="27" t="str">
        <f t="shared" si="10"/>
        <v>S</v>
      </c>
      <c r="AP6" s="27" t="str">
        <f t="shared" si="10"/>
        <v>S</v>
      </c>
      <c r="AQ6" s="27" t="str">
        <f t="shared" ref="AQ6:AW6" si="11">LEFT(TEXT(AQ5,"ddd"),1)</f>
        <v>M</v>
      </c>
      <c r="AR6" s="27" t="str">
        <f t="shared" si="11"/>
        <v>T</v>
      </c>
      <c r="AS6" s="27" t="str">
        <f t="shared" si="11"/>
        <v>W</v>
      </c>
      <c r="AT6" s="27" t="str">
        <f t="shared" si="11"/>
        <v>T</v>
      </c>
      <c r="AU6" s="27" t="str">
        <f t="shared" si="11"/>
        <v>F</v>
      </c>
      <c r="AV6" s="27" t="str">
        <f t="shared" si="11"/>
        <v>S</v>
      </c>
      <c r="AW6" s="27" t="str">
        <f t="shared" si="11"/>
        <v>S</v>
      </c>
    </row>
    <row r="7" spans="1:49" s="19" customFormat="1" ht="30" hidden="1" customHeight="1" thickBot="1" x14ac:dyDescent="0.35">
      <c r="A7" s="10" t="s">
        <v>5</v>
      </c>
      <c r="B7" s="28"/>
      <c r="C7" s="29"/>
      <c r="D7" s="28"/>
      <c r="E7" s="28"/>
      <c r="G7" s="19" t="str">
        <f>IF(OR(ISBLANK(task_start),ISBLANK(task_end)),"",task_end-task_start+1)</f>
        <v/>
      </c>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row>
    <row r="8" spans="1:49" s="36" customFormat="1" ht="30" customHeight="1" thickBot="1" x14ac:dyDescent="0.35">
      <c r="A8" s="74"/>
      <c r="B8" s="31" t="s">
        <v>6</v>
      </c>
      <c r="C8" s="32"/>
      <c r="D8" s="33"/>
      <c r="E8" s="34"/>
      <c r="F8" s="11"/>
      <c r="G8" s="3" t="str">
        <f t="shared" ref="G8:G45" si="12">IF(OR(ISBLANK(task_start),ISBLANK(task_end)),"",task_end-task_start+1)</f>
        <v/>
      </c>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row>
    <row r="9" spans="1:49" s="36" customFormat="1" ht="30" customHeight="1" thickBot="1" x14ac:dyDescent="0.35">
      <c r="A9" s="74"/>
      <c r="B9" s="37" t="s">
        <v>7</v>
      </c>
      <c r="C9" s="38" t="s">
        <v>15</v>
      </c>
      <c r="D9" s="39">
        <v>46079</v>
      </c>
      <c r="E9" s="39">
        <v>46079</v>
      </c>
      <c r="F9" s="11"/>
      <c r="G9" s="3">
        <f t="shared" si="12"/>
        <v>1</v>
      </c>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row>
    <row r="10" spans="1:49" s="36" customFormat="1" ht="30" customHeight="1" thickBot="1" x14ac:dyDescent="0.35">
      <c r="A10" s="74"/>
      <c r="B10" s="41" t="s">
        <v>8</v>
      </c>
      <c r="C10" s="38" t="s">
        <v>15</v>
      </c>
      <c r="D10" s="75">
        <v>46103</v>
      </c>
      <c r="E10" s="75">
        <v>46105</v>
      </c>
      <c r="F10" s="11"/>
      <c r="G10" s="3">
        <f t="shared" si="12"/>
        <v>3</v>
      </c>
      <c r="H10" s="40"/>
      <c r="I10" s="40"/>
      <c r="J10" s="40"/>
      <c r="K10" s="40"/>
      <c r="L10" s="40"/>
      <c r="M10" s="40"/>
      <c r="N10" s="40"/>
      <c r="O10" s="40"/>
      <c r="P10" s="40"/>
      <c r="Q10" s="40"/>
      <c r="R10" s="40"/>
      <c r="S10" s="40"/>
      <c r="T10" s="42"/>
      <c r="U10" s="42"/>
      <c r="V10" s="40"/>
      <c r="W10" s="40"/>
      <c r="X10" s="40"/>
      <c r="Y10" s="40"/>
      <c r="Z10" s="40"/>
      <c r="AA10" s="42"/>
      <c r="AB10" s="42"/>
      <c r="AC10" s="40"/>
      <c r="AD10" s="40"/>
      <c r="AE10" s="40"/>
      <c r="AF10" s="40"/>
      <c r="AG10" s="40"/>
      <c r="AH10" s="42"/>
      <c r="AI10" s="42"/>
      <c r="AJ10" s="40"/>
      <c r="AK10" s="40"/>
      <c r="AL10" s="40"/>
      <c r="AM10" s="40"/>
      <c r="AN10" s="40"/>
      <c r="AO10" s="42"/>
      <c r="AP10" s="42"/>
      <c r="AQ10" s="40"/>
      <c r="AR10" s="40"/>
      <c r="AS10" s="40"/>
      <c r="AT10" s="40"/>
      <c r="AU10" s="40"/>
      <c r="AV10" s="42"/>
      <c r="AW10" s="42"/>
    </row>
    <row r="11" spans="1:49" s="36" customFormat="1" ht="30" customHeight="1" thickBot="1" x14ac:dyDescent="0.35">
      <c r="A11" s="74"/>
      <c r="B11" s="41" t="s">
        <v>9</v>
      </c>
      <c r="C11" s="38" t="s">
        <v>15</v>
      </c>
      <c r="D11" s="76">
        <v>46105</v>
      </c>
      <c r="E11" s="76">
        <v>46107</v>
      </c>
      <c r="F11" s="11"/>
      <c r="G11" s="3"/>
      <c r="H11" s="40"/>
      <c r="I11" s="40"/>
      <c r="J11" s="40"/>
      <c r="K11" s="40"/>
      <c r="L11" s="40"/>
      <c r="M11" s="40"/>
      <c r="N11" s="40"/>
      <c r="O11" s="40"/>
      <c r="P11" s="40"/>
      <c r="Q11" s="40"/>
      <c r="R11" s="40"/>
      <c r="S11" s="40" t="s">
        <v>37</v>
      </c>
      <c r="T11" s="42"/>
      <c r="U11" s="42"/>
      <c r="V11" s="40"/>
      <c r="W11" s="40"/>
      <c r="X11" s="40"/>
      <c r="Y11" s="40"/>
      <c r="Z11" s="40"/>
      <c r="AA11" s="42"/>
      <c r="AB11" s="42"/>
      <c r="AC11" s="40"/>
      <c r="AD11" s="40"/>
      <c r="AE11" s="40"/>
      <c r="AF11" s="40"/>
      <c r="AG11" s="40"/>
      <c r="AH11" s="42"/>
      <c r="AI11" s="42"/>
      <c r="AJ11" s="40"/>
      <c r="AK11" s="40"/>
      <c r="AL11" s="40"/>
      <c r="AM11" s="40"/>
      <c r="AN11" s="40"/>
      <c r="AO11" s="42"/>
      <c r="AP11" s="42"/>
      <c r="AQ11" s="40"/>
      <c r="AR11" s="40"/>
      <c r="AS11" s="40"/>
      <c r="AT11" s="40"/>
      <c r="AU11" s="40"/>
      <c r="AV11" s="42"/>
      <c r="AW11" s="42"/>
    </row>
    <row r="12" spans="1:49" s="36" customFormat="1" ht="30" customHeight="1" thickBot="1" x14ac:dyDescent="0.35">
      <c r="A12" s="74"/>
      <c r="B12" s="41" t="s">
        <v>10</v>
      </c>
      <c r="C12" s="38" t="s">
        <v>15</v>
      </c>
      <c r="D12" s="75">
        <v>46108</v>
      </c>
      <c r="E12" s="76">
        <v>46111</v>
      </c>
      <c r="F12" s="11"/>
      <c r="G12" s="3"/>
      <c r="H12" s="40"/>
      <c r="I12" s="40"/>
      <c r="J12" s="40"/>
      <c r="K12" s="40"/>
      <c r="L12" s="40"/>
      <c r="M12" s="40"/>
      <c r="N12" s="40"/>
      <c r="O12" s="40"/>
      <c r="P12" s="40"/>
      <c r="Q12" s="40"/>
      <c r="R12" s="40"/>
      <c r="S12" s="40"/>
      <c r="T12" s="42"/>
      <c r="U12" s="42"/>
      <c r="V12" s="40"/>
      <c r="W12" s="40"/>
      <c r="X12" s="40"/>
      <c r="Y12" s="40"/>
      <c r="Z12" s="40"/>
      <c r="AA12" s="42"/>
      <c r="AB12" s="42"/>
      <c r="AC12" s="40"/>
      <c r="AD12" s="40"/>
      <c r="AE12" s="40"/>
      <c r="AF12" s="40"/>
      <c r="AG12" s="40"/>
      <c r="AH12" s="42"/>
      <c r="AI12" s="42"/>
      <c r="AJ12" s="40"/>
      <c r="AK12" s="40"/>
      <c r="AL12" s="40"/>
      <c r="AM12" s="40"/>
      <c r="AN12" s="40"/>
      <c r="AO12" s="42"/>
      <c r="AP12" s="42"/>
      <c r="AQ12" s="40"/>
      <c r="AR12" s="40"/>
      <c r="AS12" s="40"/>
      <c r="AT12" s="40"/>
      <c r="AU12" s="40"/>
      <c r="AV12" s="42"/>
      <c r="AW12" s="42"/>
    </row>
    <row r="13" spans="1:49" s="36" customFormat="1" ht="30" customHeight="1" thickBot="1" x14ac:dyDescent="0.35">
      <c r="A13" s="10"/>
      <c r="B13" s="41" t="s">
        <v>11</v>
      </c>
      <c r="C13" s="38" t="s">
        <v>15</v>
      </c>
      <c r="D13" s="75">
        <v>46112</v>
      </c>
      <c r="E13" s="76">
        <v>46112</v>
      </c>
      <c r="F13" s="11"/>
      <c r="G13" s="3">
        <f t="shared" si="12"/>
        <v>1</v>
      </c>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row>
    <row r="14" spans="1:49" s="36" customFormat="1" ht="30" customHeight="1" thickBot="1" x14ac:dyDescent="0.35">
      <c r="A14" s="74"/>
      <c r="B14" s="43" t="s">
        <v>12</v>
      </c>
      <c r="C14" s="44"/>
      <c r="D14" s="45"/>
      <c r="E14" s="46"/>
      <c r="F14" s="11"/>
      <c r="G14" s="3" t="str">
        <f t="shared" si="12"/>
        <v/>
      </c>
    </row>
    <row r="15" spans="1:49" s="36" customFormat="1" ht="30" customHeight="1" thickBot="1" x14ac:dyDescent="0.35">
      <c r="A15" s="74"/>
      <c r="B15" s="47" t="s">
        <v>13</v>
      </c>
      <c r="C15" s="48" t="s">
        <v>15</v>
      </c>
      <c r="D15" s="49">
        <v>46079</v>
      </c>
      <c r="E15" s="49">
        <v>46083</v>
      </c>
      <c r="F15" s="11"/>
      <c r="G15" s="3">
        <f t="shared" si="12"/>
        <v>5</v>
      </c>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row>
    <row r="16" spans="1:49" s="36" customFormat="1" ht="30" customHeight="1" thickBot="1" x14ac:dyDescent="0.35">
      <c r="A16" s="10"/>
      <c r="B16" s="47" t="s">
        <v>14</v>
      </c>
      <c r="C16" s="48" t="s">
        <v>15</v>
      </c>
      <c r="D16" s="49">
        <v>46080</v>
      </c>
      <c r="E16" s="49">
        <v>46091</v>
      </c>
      <c r="F16" s="11"/>
      <c r="G16" s="3">
        <f t="shared" si="12"/>
        <v>12</v>
      </c>
      <c r="H16" s="40"/>
      <c r="I16" s="40"/>
      <c r="J16" s="40"/>
      <c r="K16" s="40"/>
      <c r="L16" s="40"/>
      <c r="M16" s="40"/>
      <c r="N16" s="40"/>
      <c r="O16" s="40"/>
      <c r="P16" s="40"/>
      <c r="Q16" s="40"/>
      <c r="R16" s="40"/>
      <c r="S16" s="40"/>
      <c r="T16" s="42"/>
      <c r="U16" s="42"/>
      <c r="V16" s="40"/>
      <c r="W16" s="40"/>
      <c r="X16" s="40"/>
      <c r="Y16" s="40"/>
      <c r="Z16" s="40"/>
      <c r="AA16" s="42"/>
      <c r="AB16" s="42"/>
      <c r="AC16" s="40"/>
      <c r="AD16" s="40"/>
      <c r="AE16" s="40"/>
      <c r="AF16" s="40"/>
      <c r="AG16" s="40"/>
      <c r="AH16" s="42"/>
      <c r="AI16" s="42"/>
      <c r="AJ16" s="40"/>
      <c r="AK16" s="40"/>
      <c r="AL16" s="40"/>
      <c r="AM16" s="40"/>
      <c r="AN16" s="40"/>
      <c r="AO16" s="42"/>
      <c r="AP16" s="42"/>
      <c r="AQ16" s="40"/>
      <c r="AR16" s="40"/>
      <c r="AS16" s="40"/>
      <c r="AT16" s="40"/>
      <c r="AU16" s="40"/>
      <c r="AV16" s="42"/>
      <c r="AW16" s="42"/>
    </row>
    <row r="17" spans="1:49" s="36" customFormat="1" ht="30" customHeight="1" thickBot="1" x14ac:dyDescent="0.35">
      <c r="A17" s="10"/>
      <c r="B17" s="77" t="s">
        <v>38</v>
      </c>
      <c r="C17" s="48" t="s">
        <v>15</v>
      </c>
      <c r="D17" s="49">
        <v>46086</v>
      </c>
      <c r="E17" s="49">
        <v>46092</v>
      </c>
      <c r="F17" s="11"/>
      <c r="G17" s="3">
        <f t="shared" si="12"/>
        <v>7</v>
      </c>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row>
    <row r="18" spans="1:49" s="36" customFormat="1" ht="30" customHeight="1" thickBot="1" x14ac:dyDescent="0.35">
      <c r="A18" s="10"/>
      <c r="B18" s="77" t="s">
        <v>16</v>
      </c>
      <c r="C18" s="48" t="s">
        <v>15</v>
      </c>
      <c r="D18" s="49">
        <v>46092</v>
      </c>
      <c r="E18" s="49">
        <v>46093</v>
      </c>
      <c r="F18" s="11"/>
      <c r="G18" s="3">
        <f t="shared" si="12"/>
        <v>2</v>
      </c>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row>
    <row r="19" spans="1:49" s="36" customFormat="1" ht="30" customHeight="1" thickBot="1" x14ac:dyDescent="0.35">
      <c r="A19" s="10"/>
      <c r="B19" s="77" t="s">
        <v>11</v>
      </c>
      <c r="C19" s="48" t="s">
        <v>15</v>
      </c>
      <c r="D19" s="49">
        <v>46094</v>
      </c>
      <c r="E19" s="49">
        <v>46094</v>
      </c>
      <c r="F19" s="11"/>
      <c r="G19" s="3"/>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row>
    <row r="20" spans="1:49" s="36" customFormat="1" ht="30" customHeight="1" thickBot="1" x14ac:dyDescent="0.35">
      <c r="A20" s="10"/>
      <c r="B20" s="79" t="s">
        <v>39</v>
      </c>
      <c r="C20" s="57"/>
      <c r="D20" s="58"/>
      <c r="E20" s="59"/>
      <c r="F20" s="11"/>
      <c r="G20" s="3" t="str">
        <f t="shared" si="12"/>
        <v/>
      </c>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row>
    <row r="21" spans="1:49" s="36" customFormat="1" ht="30" customHeight="1" thickBot="1" x14ac:dyDescent="0.35">
      <c r="A21" s="10"/>
      <c r="B21" s="78" t="s">
        <v>40</v>
      </c>
      <c r="C21" s="61" t="s">
        <v>15</v>
      </c>
      <c r="D21" s="62">
        <v>46094</v>
      </c>
      <c r="E21" s="62">
        <v>46096</v>
      </c>
      <c r="F21" s="11"/>
      <c r="G21" s="3">
        <f t="shared" si="12"/>
        <v>3</v>
      </c>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row>
    <row r="22" spans="1:49" s="36" customFormat="1" ht="30" customHeight="1" thickBot="1" x14ac:dyDescent="0.35">
      <c r="A22" s="10"/>
      <c r="B22" s="78" t="s">
        <v>41</v>
      </c>
      <c r="C22" s="61" t="s">
        <v>15</v>
      </c>
      <c r="D22" s="62">
        <v>46094</v>
      </c>
      <c r="E22" s="62">
        <v>46096</v>
      </c>
      <c r="F22" s="11"/>
      <c r="G22" s="3">
        <f t="shared" si="12"/>
        <v>3</v>
      </c>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row>
    <row r="23" spans="1:49" s="36" customFormat="1" ht="30" customHeight="1" thickBot="1" x14ac:dyDescent="0.35">
      <c r="A23" s="10"/>
      <c r="B23" s="78" t="s">
        <v>42</v>
      </c>
      <c r="C23" s="61" t="s">
        <v>15</v>
      </c>
      <c r="D23" s="62">
        <v>46094</v>
      </c>
      <c r="E23" s="62">
        <v>46096</v>
      </c>
      <c r="F23" s="11"/>
      <c r="G23" s="3">
        <f t="shared" si="12"/>
        <v>3</v>
      </c>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row>
    <row r="24" spans="1:49" s="36" customFormat="1" ht="30" customHeight="1" thickBot="1" x14ac:dyDescent="0.35">
      <c r="A24" s="10"/>
      <c r="B24" s="78" t="s">
        <v>43</v>
      </c>
      <c r="C24" s="61" t="s">
        <v>15</v>
      </c>
      <c r="D24" s="62">
        <v>46094</v>
      </c>
      <c r="E24" s="62">
        <v>46096</v>
      </c>
      <c r="F24" s="11"/>
      <c r="G24" s="3">
        <f t="shared" si="12"/>
        <v>3</v>
      </c>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row>
    <row r="25" spans="1:49" s="36" customFormat="1" ht="30" customHeight="1" thickBot="1" x14ac:dyDescent="0.35">
      <c r="A25" s="10"/>
      <c r="B25" s="78" t="s">
        <v>44</v>
      </c>
      <c r="C25" s="61" t="s">
        <v>15</v>
      </c>
      <c r="D25" s="62">
        <v>46094</v>
      </c>
      <c r="E25" s="62">
        <v>46096</v>
      </c>
      <c r="F25" s="11"/>
      <c r="G25" s="3">
        <f t="shared" si="12"/>
        <v>3</v>
      </c>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row>
    <row r="26" spans="1:49" s="36" customFormat="1" ht="30" customHeight="1" thickBot="1" x14ac:dyDescent="0.35">
      <c r="A26" s="10"/>
      <c r="B26" s="84" t="s">
        <v>54</v>
      </c>
      <c r="C26" s="85"/>
      <c r="D26" s="86"/>
      <c r="E26" s="87"/>
      <c r="F26" s="11"/>
      <c r="G26" s="3"/>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row>
    <row r="27" spans="1:49" s="36" customFormat="1" ht="30" customHeight="1" thickBot="1" x14ac:dyDescent="0.35">
      <c r="A27" s="10"/>
      <c r="B27" s="88" t="s">
        <v>55</v>
      </c>
      <c r="C27" s="89" t="s">
        <v>15</v>
      </c>
      <c r="D27" s="90">
        <v>46080</v>
      </c>
      <c r="E27" s="90">
        <v>46080</v>
      </c>
      <c r="F27" s="11"/>
      <c r="G27" s="3"/>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row>
    <row r="28" spans="1:49" s="36" customFormat="1" ht="30" customHeight="1" thickBot="1" x14ac:dyDescent="0.35">
      <c r="A28" s="10"/>
      <c r="B28" s="88" t="s">
        <v>56</v>
      </c>
      <c r="C28" s="89" t="s">
        <v>15</v>
      </c>
      <c r="D28" s="90">
        <v>46087</v>
      </c>
      <c r="E28" s="90">
        <v>46087</v>
      </c>
      <c r="F28" s="11"/>
      <c r="G28" s="3"/>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row>
    <row r="29" spans="1:49" s="36" customFormat="1" ht="30" customHeight="1" thickBot="1" x14ac:dyDescent="0.35">
      <c r="A29" s="10"/>
      <c r="B29" s="88" t="s">
        <v>57</v>
      </c>
      <c r="C29" s="89" t="s">
        <v>15</v>
      </c>
      <c r="D29" s="90">
        <v>46094</v>
      </c>
      <c r="E29" s="90">
        <v>46094</v>
      </c>
      <c r="F29" s="11"/>
      <c r="G29" s="3"/>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row>
    <row r="30" spans="1:49" s="36" customFormat="1" ht="30" customHeight="1" thickBot="1" x14ac:dyDescent="0.35">
      <c r="A30" s="10"/>
      <c r="B30" s="88" t="s">
        <v>58</v>
      </c>
      <c r="C30" s="89" t="s">
        <v>15</v>
      </c>
      <c r="D30" s="91">
        <v>46108</v>
      </c>
      <c r="E30" s="91">
        <v>46108</v>
      </c>
      <c r="F30" s="11"/>
      <c r="G30" s="3"/>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row>
    <row r="31" spans="1:49" s="36" customFormat="1" ht="30" customHeight="1" thickBot="1" x14ac:dyDescent="0.35">
      <c r="A31" s="10"/>
      <c r="B31" s="31" t="s">
        <v>17</v>
      </c>
      <c r="C31" s="32"/>
      <c r="D31" s="33"/>
      <c r="E31" s="34"/>
      <c r="F31" s="11"/>
      <c r="G31" s="3" t="str">
        <f t="shared" si="12"/>
        <v/>
      </c>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row>
    <row r="32" spans="1:49" s="36" customFormat="1" ht="30" customHeight="1" thickBot="1" x14ac:dyDescent="0.35">
      <c r="A32" s="74"/>
      <c r="B32" s="80" t="s">
        <v>45</v>
      </c>
      <c r="C32" s="38" t="s">
        <v>15</v>
      </c>
      <c r="D32" s="39">
        <v>46096</v>
      </c>
      <c r="E32" s="39">
        <v>46098</v>
      </c>
      <c r="F32" s="11"/>
      <c r="G32" s="3">
        <f t="shared" si="12"/>
        <v>3</v>
      </c>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row>
    <row r="33" spans="2:49" ht="30" customHeight="1" thickBot="1" x14ac:dyDescent="0.35">
      <c r="B33" s="81" t="s">
        <v>46</v>
      </c>
      <c r="C33" s="38" t="s">
        <v>15</v>
      </c>
      <c r="D33" s="39">
        <v>46097</v>
      </c>
      <c r="E33" s="39">
        <v>46099</v>
      </c>
      <c r="F33" s="11"/>
      <c r="G33" s="3">
        <f t="shared" si="12"/>
        <v>3</v>
      </c>
      <c r="H33" s="40"/>
      <c r="I33" s="40"/>
      <c r="J33" s="40"/>
      <c r="K33" s="40"/>
      <c r="L33" s="40"/>
      <c r="M33" s="40"/>
      <c r="N33" s="40"/>
      <c r="O33" s="40"/>
      <c r="P33" s="40"/>
      <c r="Q33" s="40"/>
      <c r="R33" s="40"/>
      <c r="S33" s="40"/>
      <c r="T33" s="42"/>
      <c r="U33" s="42"/>
      <c r="V33" s="40"/>
      <c r="W33" s="40"/>
      <c r="X33" s="40"/>
      <c r="Y33" s="40"/>
      <c r="Z33" s="40"/>
      <c r="AA33" s="42"/>
      <c r="AB33" s="42"/>
      <c r="AC33" s="40"/>
      <c r="AD33" s="40"/>
      <c r="AE33" s="40"/>
      <c r="AF33" s="40"/>
      <c r="AG33" s="40"/>
      <c r="AH33" s="42"/>
      <c r="AI33" s="42"/>
      <c r="AJ33" s="40"/>
      <c r="AK33" s="40"/>
      <c r="AL33" s="40"/>
      <c r="AM33" s="40"/>
      <c r="AN33" s="40"/>
      <c r="AO33" s="42"/>
      <c r="AP33" s="42"/>
      <c r="AQ33" s="40"/>
      <c r="AR33" s="40"/>
      <c r="AS33" s="40"/>
      <c r="AT33" s="40"/>
      <c r="AU33" s="40"/>
      <c r="AV33" s="42"/>
      <c r="AW33" s="42"/>
    </row>
    <row r="34" spans="2:49" ht="30" customHeight="1" thickBot="1" x14ac:dyDescent="0.35">
      <c r="B34" s="80" t="s">
        <v>47</v>
      </c>
      <c r="C34" s="38" t="s">
        <v>15</v>
      </c>
      <c r="D34" s="39">
        <v>46098</v>
      </c>
      <c r="E34" s="39">
        <v>46100</v>
      </c>
      <c r="F34" s="11"/>
      <c r="G34" s="3">
        <f t="shared" si="12"/>
        <v>3</v>
      </c>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row>
    <row r="35" spans="2:49" ht="30" customHeight="1" thickBot="1" x14ac:dyDescent="0.35">
      <c r="B35" s="82" t="s">
        <v>48</v>
      </c>
      <c r="C35" s="38" t="s">
        <v>15</v>
      </c>
      <c r="D35" s="39">
        <v>46099</v>
      </c>
      <c r="E35" s="39">
        <v>46101</v>
      </c>
      <c r="F35" s="11"/>
      <c r="G35" s="3">
        <f t="shared" si="12"/>
        <v>3</v>
      </c>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row>
    <row r="36" spans="2:49" ht="30" customHeight="1" thickBot="1" x14ac:dyDescent="0.35">
      <c r="B36" s="82" t="s">
        <v>49</v>
      </c>
      <c r="C36" s="38" t="s">
        <v>15</v>
      </c>
      <c r="D36" s="39">
        <v>46100</v>
      </c>
      <c r="E36" s="39">
        <v>46102</v>
      </c>
      <c r="F36" s="11"/>
      <c r="G36" s="3">
        <f t="shared" si="12"/>
        <v>3</v>
      </c>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row>
    <row r="37" spans="2:49" ht="30" customHeight="1" thickBot="1" x14ac:dyDescent="0.35">
      <c r="B37" s="43" t="s">
        <v>18</v>
      </c>
      <c r="C37" s="44"/>
      <c r="D37" s="45"/>
      <c r="E37" s="46"/>
      <c r="F37" s="11"/>
      <c r="G37" s="3" t="str">
        <f t="shared" si="12"/>
        <v/>
      </c>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row>
    <row r="38" spans="2:49" ht="30" customHeight="1" thickBot="1" x14ac:dyDescent="0.35">
      <c r="B38" s="47" t="s">
        <v>60</v>
      </c>
      <c r="C38" s="48" t="s">
        <v>19</v>
      </c>
      <c r="D38" s="49">
        <v>46102</v>
      </c>
      <c r="E38" s="49">
        <v>46103</v>
      </c>
      <c r="F38" s="11"/>
      <c r="G38" s="3">
        <f t="shared" si="12"/>
        <v>2</v>
      </c>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row>
    <row r="39" spans="2:49" ht="30" customHeight="1" thickBot="1" x14ac:dyDescent="0.35">
      <c r="B39" s="47" t="s">
        <v>61</v>
      </c>
      <c r="C39" s="48" t="s">
        <v>19</v>
      </c>
      <c r="D39" s="49">
        <v>46102</v>
      </c>
      <c r="E39" s="49">
        <v>46103</v>
      </c>
      <c r="F39" s="11"/>
      <c r="G39" s="3">
        <f t="shared" si="12"/>
        <v>2</v>
      </c>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row>
    <row r="40" spans="2:49" ht="30" customHeight="1" thickBot="1" x14ac:dyDescent="0.35">
      <c r="B40" s="47" t="s">
        <v>59</v>
      </c>
      <c r="C40" s="48" t="s">
        <v>19</v>
      </c>
      <c r="D40" s="49">
        <v>46103</v>
      </c>
      <c r="E40" s="49">
        <v>46104</v>
      </c>
      <c r="F40" s="11"/>
      <c r="G40" s="3">
        <f t="shared" si="12"/>
        <v>2</v>
      </c>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row>
    <row r="41" spans="2:49" ht="30" customHeight="1" thickBot="1" x14ac:dyDescent="0.35">
      <c r="B41" s="50" t="s">
        <v>20</v>
      </c>
      <c r="C41" s="51"/>
      <c r="D41" s="52"/>
      <c r="E41" s="53"/>
      <c r="F41" s="11"/>
      <c r="G41" s="3" t="str">
        <f t="shared" si="12"/>
        <v/>
      </c>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row>
    <row r="42" spans="2:49" ht="30" customHeight="1" thickBot="1" x14ac:dyDescent="0.35">
      <c r="B42" s="83" t="s">
        <v>50</v>
      </c>
      <c r="C42" s="55" t="s">
        <v>15</v>
      </c>
      <c r="D42" s="56">
        <v>46097</v>
      </c>
      <c r="E42" s="56">
        <v>46098</v>
      </c>
      <c r="F42" s="11"/>
      <c r="G42" s="3">
        <f t="shared" si="12"/>
        <v>2</v>
      </c>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row>
    <row r="43" spans="2:49" ht="30" customHeight="1" thickBot="1" x14ac:dyDescent="0.35">
      <c r="B43" s="83" t="s">
        <v>51</v>
      </c>
      <c r="C43" s="55" t="s">
        <v>15</v>
      </c>
      <c r="D43" s="56">
        <v>46098</v>
      </c>
      <c r="E43" s="56">
        <v>46108</v>
      </c>
      <c r="F43" s="11"/>
      <c r="G43" s="3">
        <f t="shared" si="12"/>
        <v>11</v>
      </c>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row>
    <row r="44" spans="2:49" ht="30" customHeight="1" thickBot="1" x14ac:dyDescent="0.35">
      <c r="B44" s="83" t="s">
        <v>52</v>
      </c>
      <c r="C44" s="55" t="s">
        <v>15</v>
      </c>
      <c r="D44" s="56">
        <v>46108</v>
      </c>
      <c r="E44" s="56">
        <v>46109</v>
      </c>
      <c r="F44" s="11"/>
      <c r="G44" s="3">
        <f t="shared" si="12"/>
        <v>2</v>
      </c>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row>
    <row r="45" spans="2:49" ht="30" customHeight="1" thickBot="1" x14ac:dyDescent="0.35">
      <c r="B45" s="83" t="s">
        <v>53</v>
      </c>
      <c r="C45" s="55" t="s">
        <v>15</v>
      </c>
      <c r="D45" s="56">
        <v>46112</v>
      </c>
      <c r="E45" s="56">
        <v>46112</v>
      </c>
      <c r="F45" s="11"/>
      <c r="G45" s="3">
        <f t="shared" si="12"/>
        <v>1</v>
      </c>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row>
    <row r="47" spans="2:49" ht="30" customHeight="1" x14ac:dyDescent="0.3">
      <c r="B47" s="40" t="s">
        <v>62</v>
      </c>
      <c r="C47" s="105" t="s">
        <v>63</v>
      </c>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7"/>
    </row>
    <row r="48" spans="2:49" ht="30" customHeight="1" x14ac:dyDescent="0.3">
      <c r="B48" s="40"/>
      <c r="C48" s="108"/>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09"/>
      <c r="AL48" s="109"/>
      <c r="AM48" s="109"/>
      <c r="AN48" s="109"/>
      <c r="AO48" s="109"/>
      <c r="AP48" s="109"/>
      <c r="AQ48" s="109"/>
      <c r="AR48" s="109"/>
      <c r="AS48" s="109"/>
      <c r="AT48" s="109"/>
      <c r="AU48" s="109"/>
      <c r="AV48" s="109"/>
      <c r="AW48" s="110"/>
    </row>
    <row r="49" spans="2:49" ht="30" customHeight="1" x14ac:dyDescent="0.3">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row>
    <row r="50" spans="2:49" ht="30" customHeight="1" x14ac:dyDescent="0.3">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row>
  </sheetData>
  <mergeCells count="16">
    <mergeCell ref="A5:A6"/>
    <mergeCell ref="B5:B6"/>
    <mergeCell ref="C5:C6"/>
    <mergeCell ref="D5:D6"/>
    <mergeCell ref="C47:AW48"/>
    <mergeCell ref="P1:Y1"/>
    <mergeCell ref="H1:N1"/>
    <mergeCell ref="H2:N2"/>
    <mergeCell ref="H4:N4"/>
    <mergeCell ref="O4:U4"/>
    <mergeCell ref="V4:AB4"/>
    <mergeCell ref="AJ4:AP4"/>
    <mergeCell ref="AQ4:AW4"/>
    <mergeCell ref="AC4:AI4"/>
    <mergeCell ref="E5:E6"/>
    <mergeCell ref="P2:Y2"/>
  </mergeCells>
  <phoneticPr fontId="28" type="noConversion"/>
  <conditionalFormatting sqref="B47:B50">
    <cfRule type="expression" dxfId="17" priority="4">
      <formula>AND(TODAY()&gt;=B$5, TODAY()&lt;C$5)</formula>
    </cfRule>
    <cfRule type="expression" dxfId="16" priority="5">
      <formula>AND(task_start&lt;=B$5,ROUNDDOWN((task_end-task_start+1)*task_progress,0)+task_start-1&gt;=B$5)</formula>
    </cfRule>
    <cfRule type="expression" dxfId="15" priority="6" stopIfTrue="1">
      <formula>AND(task_end&gt;=B$5,task_start&lt;C$5)</formula>
    </cfRule>
  </conditionalFormatting>
  <conditionalFormatting sqref="C47 C49:AW50">
    <cfRule type="expression" dxfId="14" priority="1">
      <formula>AND(TODAY()&gt;=C$5, TODAY()&lt;D$5)</formula>
    </cfRule>
    <cfRule type="expression" dxfId="13" priority="2">
      <formula>AND(task_start&lt;=C$5,ROUNDDOWN((task_end-task_start+1)*task_progress,0)+task_start-1&gt;=C$5)</formula>
    </cfRule>
    <cfRule type="expression" dxfId="12" priority="3" stopIfTrue="1">
      <formula>AND(task_end&gt;=C$5,task_start&lt;D$5)</formula>
    </cfRule>
  </conditionalFormatting>
  <conditionalFormatting sqref="H4:AW45">
    <cfRule type="expression" dxfId="11" priority="53">
      <formula>AND(TODAY()&gt;=H$5, TODAY()&lt;I$5)</formula>
    </cfRule>
  </conditionalFormatting>
  <conditionalFormatting sqref="H9:AW13 H32:AW36">
    <cfRule type="expression" dxfId="10" priority="58">
      <formula>AND(task_start&lt;=H$5,ROUNDDOWN((task_end-task_start+1)*task_progress,0)+task_start-1&gt;=H$5)</formula>
    </cfRule>
    <cfRule type="expression" dxfId="9" priority="59" stopIfTrue="1">
      <formula>AND(task_end&gt;=H$5,task_start&lt;I$5)</formula>
    </cfRule>
  </conditionalFormatting>
  <conditionalFormatting sqref="H15:AW19 H38:AW40">
    <cfRule type="expression" dxfId="8" priority="8" stopIfTrue="1">
      <formula>AND(task_end&gt;=H$5,task_start&lt;I$5)</formula>
    </cfRule>
  </conditionalFormatting>
  <conditionalFormatting sqref="H15:AW19">
    <cfRule type="expression" dxfId="7" priority="56">
      <formula>AND(task_start&lt;=H$5,ROUNDDOWN((task_end-task_start+1)*task_progress,0)+task_start-1&gt;=H$5)</formula>
    </cfRule>
  </conditionalFormatting>
  <conditionalFormatting sqref="H20:AW25">
    <cfRule type="expression" dxfId="6" priority="10">
      <formula>AND(task_start&lt;=H$5,ROUNDDOWN((task_end-task_start+1)*task_progress,0)+task_start-1&gt;=H$5)</formula>
    </cfRule>
  </conditionalFormatting>
  <conditionalFormatting sqref="H21:AW25">
    <cfRule type="expression" dxfId="5" priority="9" stopIfTrue="1">
      <formula>AND(task_end&gt;=H$5,task_start&lt;I$5)</formula>
    </cfRule>
  </conditionalFormatting>
  <conditionalFormatting sqref="H27:AW30">
    <cfRule type="expression" dxfId="4" priority="88">
      <formula>AND(task_start&lt;=H$5,ROUNDDOWN((task_end-task_start+1)*task_progress,0)+task_start-1&gt;=H$5)</formula>
    </cfRule>
  </conditionalFormatting>
  <conditionalFormatting sqref="H28:AW30">
    <cfRule type="expression" dxfId="3" priority="89" stopIfTrue="1">
      <formula>AND(task_end&gt;=H$5,task_start&lt;I$5)</formula>
    </cfRule>
  </conditionalFormatting>
  <conditionalFormatting sqref="H42:AW45">
    <cfRule type="expression" dxfId="2" priority="54">
      <formula>AND(task_start&lt;=H$5,ROUNDDOWN((task_end-task_start+1)*task_progress,0)+task_start-1&gt;=H$5)</formula>
    </cfRule>
    <cfRule type="expression" dxfId="1" priority="55" stopIfTrue="1">
      <formula>AND(task_end&gt;=H$5,task_start&lt;I$5)</formula>
    </cfRule>
  </conditionalFormatting>
  <conditionalFormatting sqref="K27:L27">
    <cfRule type="expression" dxfId="0" priority="7" stopIfTrue="1">
      <formula>AND(task_end&gt;=K$5,task_start&lt;L$5)</formula>
    </cfRule>
  </conditionalFormatting>
  <dataValidations count="12">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4's sample block starts in cell B26." sqref="A20"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2" xr:uid="{79B9237E-4DD3-4E0F-8ED6-E0B695A99D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A12" xr:uid="{872449A7-C3CC-45B6-BA90-B1AAD66BA0E5}"/>
  </dataValidations>
  <printOptions horizontalCentered="1"/>
  <pageMargins left="0.35" right="0.35" top="0.35" bottom="0.5" header="0.3" footer="0.3"/>
  <pageSetup scale="57"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4" customWidth="1"/>
    <col min="2" max="16384" width="9" style="1"/>
  </cols>
  <sheetData>
    <row r="1" spans="1:2" ht="46.5" customHeight="1" x14ac:dyDescent="0.25"/>
    <row r="2" spans="1:2" s="6" customFormat="1" ht="15.5" x14ac:dyDescent="0.3">
      <c r="A2" s="66" t="s">
        <v>21</v>
      </c>
      <c r="B2" s="5"/>
    </row>
    <row r="3" spans="1:2" s="8" customFormat="1" ht="27" customHeight="1" x14ac:dyDescent="0.3">
      <c r="A3" s="67"/>
      <c r="B3" s="9"/>
    </row>
    <row r="4" spans="1:2" s="7" customFormat="1" ht="30.5" x14ac:dyDescent="0.85">
      <c r="A4" s="68" t="s">
        <v>22</v>
      </c>
    </row>
    <row r="5" spans="1:2" ht="74.25" customHeight="1" x14ac:dyDescent="0.25">
      <c r="A5" s="69" t="s">
        <v>23</v>
      </c>
    </row>
    <row r="6" spans="1:2" ht="26.25" customHeight="1" x14ac:dyDescent="0.25">
      <c r="A6" s="68" t="s">
        <v>24</v>
      </c>
    </row>
    <row r="7" spans="1:2" s="4" customFormat="1" ht="205.15" customHeight="1" x14ac:dyDescent="0.3">
      <c r="A7" s="70" t="s">
        <v>25</v>
      </c>
    </row>
    <row r="8" spans="1:2" s="7" customFormat="1" ht="30.5" x14ac:dyDescent="0.85">
      <c r="A8" s="68" t="s">
        <v>26</v>
      </c>
    </row>
    <row r="9" spans="1:2" ht="42" x14ac:dyDescent="0.25">
      <c r="A9" s="69" t="s">
        <v>27</v>
      </c>
    </row>
    <row r="10" spans="1:2" s="4" customFormat="1" ht="28.15" customHeight="1" x14ac:dyDescent="0.3">
      <c r="A10" s="71" t="s">
        <v>28</v>
      </c>
    </row>
    <row r="11" spans="1:2" s="7" customFormat="1" ht="30.5" x14ac:dyDescent="0.85">
      <c r="A11" s="68" t="s">
        <v>29</v>
      </c>
    </row>
    <row r="12" spans="1:2" ht="28" x14ac:dyDescent="0.25">
      <c r="A12" s="69" t="s">
        <v>30</v>
      </c>
    </row>
    <row r="13" spans="1:2" s="4" customFormat="1" ht="28.15" customHeight="1" x14ac:dyDescent="0.3">
      <c r="A13" s="71" t="s">
        <v>31</v>
      </c>
    </row>
    <row r="14" spans="1:2" s="7" customFormat="1" ht="30.5" x14ac:dyDescent="0.85">
      <c r="A14" s="68" t="s">
        <v>32</v>
      </c>
    </row>
    <row r="15" spans="1:2" ht="75" customHeight="1" x14ac:dyDescent="0.25">
      <c r="A15" s="69" t="s">
        <v>33</v>
      </c>
    </row>
    <row r="16" spans="1:2" ht="70" x14ac:dyDescent="0.25">
      <c r="A16" s="69" t="s">
        <v>34</v>
      </c>
    </row>
    <row r="17" spans="1:1" x14ac:dyDescent="0.25">
      <c r="A17" s="72"/>
    </row>
    <row r="18" spans="1:1" x14ac:dyDescent="0.25">
      <c r="A18" s="72"/>
    </row>
    <row r="19" spans="1:1" x14ac:dyDescent="0.25">
      <c r="A19" s="72"/>
    </row>
    <row r="20" spans="1:1" x14ac:dyDescent="0.25">
      <c r="A20" s="72"/>
    </row>
    <row r="21" spans="1:1" x14ac:dyDescent="0.25">
      <c r="A21" s="72"/>
    </row>
    <row r="22" spans="1:1" x14ac:dyDescent="0.25">
      <c r="A22" s="72"/>
    </row>
    <row r="23" spans="1:1" x14ac:dyDescent="0.25">
      <c r="A23" s="72"/>
    </row>
    <row r="24" spans="1:1" x14ac:dyDescent="0.25">
      <c r="A24" s="72"/>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terms/"/>
    <ds:schemaRef ds:uri="http://schemas.microsoft.com/office/infopath/2007/PartnerControls"/>
    <ds:schemaRef ds:uri="http://www.w3.org/XML/1998/namespace"/>
    <ds:schemaRef ds:uri="230e9df3-be65-4c73-a93b-d1236ebd677e"/>
    <ds:schemaRef ds:uri="http://schemas.microsoft.com/sharepoint/v3"/>
    <ds:schemaRef ds:uri="http://schemas.microsoft.com/office/2006/documentManagement/types"/>
    <ds:schemaRef ds:uri="http://schemas.openxmlformats.org/package/2006/metadata/core-properties"/>
    <ds:schemaRef ds:uri="http://schemas.microsoft.com/office/2006/metadata/properties"/>
    <ds:schemaRef ds:uri="16c05727-aa75-4e4a-9b5f-8a80a1165891"/>
    <ds:schemaRef ds:uri="71af3243-3dd4-4a8d-8c0d-dd76da1f02a5"/>
    <ds:schemaRef ds:uri="http://purl.org/dc/dcmitype/"/>
    <ds:schemaRef ds:uri="http://purl.org/dc/elements/1.1/"/>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 schedule</vt:lpstr>
      <vt:lpstr>About</vt:lpstr>
      <vt:lpstr>Display_Week</vt:lpstr>
      <vt:lpstr>'Project schedule'!Print_Titles</vt:lpstr>
      <vt:lpstr>Project_Start</vt:lpstr>
      <vt:lpstr>'Project schedule'!task_end</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Jacob Kosmicki</cp:lastModifiedBy>
  <cp:revision/>
  <dcterms:created xsi:type="dcterms:W3CDTF">2022-03-11T22:41:12Z</dcterms:created>
  <dcterms:modified xsi:type="dcterms:W3CDTF">2026-03-30T01:06:28Z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